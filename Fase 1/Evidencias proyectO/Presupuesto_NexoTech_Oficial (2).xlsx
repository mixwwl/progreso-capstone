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erRHnUiS5SECAkau/TVrJFQbMgRszdMkeZG+0iLbFA="/>
    </ext>
  </extLst>
</workbook>
</file>

<file path=xl/sharedStrings.xml><?xml version="1.0" encoding="utf-8"?>
<sst xmlns="http://schemas.openxmlformats.org/spreadsheetml/2006/main" count="136" uniqueCount="85">
  <si>
    <t>Fase</t>
  </si>
  <si>
    <t>Tarea</t>
  </si>
  <si>
    <t>Descripción</t>
  </si>
  <si>
    <t>Cantidad</t>
  </si>
  <si>
    <t>Unidad</t>
  </si>
  <si>
    <t>Costo Unitario (CLP)</t>
  </si>
  <si>
    <t>Subtotal (CLP)</t>
  </si>
  <si>
    <t>1. Inicio y Planificación</t>
  </si>
  <si>
    <t>Documento inicial</t>
  </si>
  <si>
    <t>Acta de inicio del proyecto, alcance y objetivos</t>
  </si>
  <si>
    <t>lote</t>
  </si>
  <si>
    <t>Requerimientos</t>
  </si>
  <si>
    <t>Reuniones con usuarios y documento de requisitos</t>
  </si>
  <si>
    <t>Mockups</t>
  </si>
  <si>
    <t>Pantallas iniciales y diseño de la app</t>
  </si>
  <si>
    <t>2. Programación Backend</t>
  </si>
  <si>
    <t>Servicios principales</t>
  </si>
  <si>
    <t>Compras, licitaciones, ofertas, pedidos</t>
  </si>
  <si>
    <t>Pagos</t>
  </si>
  <si>
    <t>Integración con sistema de pago</t>
  </si>
  <si>
    <t>Seguridad</t>
  </si>
  <si>
    <t>Usuarios, roles, contraseñas cifradas</t>
  </si>
  <si>
    <t>Notificaciones</t>
  </si>
  <si>
    <t>Correos y alertas del sistema</t>
  </si>
  <si>
    <t>3. Programación Frontend</t>
  </si>
  <si>
    <t>Comprador</t>
  </si>
  <si>
    <t>Catálogo, carrito, historial de compras</t>
  </si>
  <si>
    <t>Proveedor</t>
  </si>
  <si>
    <t>Publicar productos, ver ventas, ofertas</t>
  </si>
  <si>
    <t>Administrador</t>
  </si>
  <si>
    <t>Gestión de usuarios, reportes, KPI</t>
  </si>
  <si>
    <t>Diseño responsivo</t>
  </si>
  <si>
    <t>Que se vea bien en PC, tablet y celular</t>
  </si>
  <si>
    <t>4. Base de Datos e Infra</t>
  </si>
  <si>
    <t>Diseño BD</t>
  </si>
  <si>
    <t>Modelo de datos en Oracle</t>
  </si>
  <si>
    <t>Licencia Oracle</t>
  </si>
  <si>
    <t>Oracle Database SE2 (1 CPU)</t>
  </si>
  <si>
    <t>licencia</t>
  </si>
  <si>
    <t>Soporte Oracle</t>
  </si>
  <si>
    <t>Soporte anual Oracle</t>
  </si>
  <si>
    <t>servicio</t>
  </si>
  <si>
    <t>DBA Oracle</t>
  </si>
  <si>
    <t>Configuración inicial y capacitación</t>
  </si>
  <si>
    <t>Servidor nube</t>
  </si>
  <si>
    <t>Hosting, almacenamiento, respaldos</t>
  </si>
  <si>
    <t>5. Pruebas</t>
  </si>
  <si>
    <t>Pruebas funcionales</t>
  </si>
  <si>
    <t>Revisar funciones principales</t>
  </si>
  <si>
    <t>Pruebas de carga</t>
  </si>
  <si>
    <t>Muchos usuarios al mismo tiempo</t>
  </si>
  <si>
    <t>Automatización</t>
  </si>
  <si>
    <t>Pruebas automáticas básicas</t>
  </si>
  <si>
    <t>6. Entrega y Documentación</t>
  </si>
  <si>
    <t>Puesta en marcha</t>
  </si>
  <si>
    <t>Despliegue y configuración final</t>
  </si>
  <si>
    <t>Manual técnico</t>
  </si>
  <si>
    <t>Documento para desarrolladores y admins</t>
  </si>
  <si>
    <t>Manual usuario</t>
  </si>
  <si>
    <t>Guías para comprador/proveedor/admin</t>
  </si>
  <si>
    <t>Capacitación</t>
  </si>
  <si>
    <t>Sesión de formación para administradores</t>
  </si>
  <si>
    <t>7. Soporte</t>
  </si>
  <si>
    <t>Soporte inicial</t>
  </si>
  <si>
    <t>3 meses después del lanzamiento</t>
  </si>
  <si>
    <t>8. Marketing</t>
  </si>
  <si>
    <t>Logo e imagen</t>
  </si>
  <si>
    <t>Diseño de identidad visual</t>
  </si>
  <si>
    <t>Campaña digital</t>
  </si>
  <si>
    <t>Anuncios en redes sociales</t>
  </si>
  <si>
    <t>9. Gastos Mensuales (12m)</t>
  </si>
  <si>
    <t>Servidor Oracle Cloud</t>
  </si>
  <si>
    <t>Costo por 12 meses</t>
  </si>
  <si>
    <t>mes</t>
  </si>
  <si>
    <t>notificaciones, monitoreo</t>
  </si>
  <si>
    <t>10. Operaciones</t>
  </si>
  <si>
    <t>Arriendo de oficina</t>
  </si>
  <si>
    <t>Espacio físico para equipo de trabajo con servicios básicos</t>
  </si>
  <si>
    <t>Servicios básicos</t>
  </si>
  <si>
    <t>Electricidad, agua, internet y gastos de oficina</t>
  </si>
  <si>
    <t>Materiales de oficina</t>
  </si>
  <si>
    <t>Sillas, escritorios, papelería y elementos de confort</t>
  </si>
  <si>
    <t>Gastos Extras / Contingencia</t>
  </si>
  <si>
    <t>Fondo para cubrir gastos no previstos durante el proyecto</t>
  </si>
  <si>
    <t>Total General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</si>
</sst>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CLP&quot; #,##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3" fillId="0" fontId="1" numFmtId="0" xfId="0" applyAlignment="1" applyBorder="1" applyFont="1">
      <alignment horizontal="center" readingOrder="0" shrinkToFit="0" vertical="top" wrapText="0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3" numFmtId="164" xfId="0" applyAlignment="1" applyBorder="1" applyFont="1" applyNumberFormat="1">
      <alignment shrinkToFit="0" vertical="center" wrapText="0"/>
    </xf>
    <xf borderId="6" fillId="0" fontId="3" numFmtId="164" xfId="0" applyAlignment="1" applyBorder="1" applyFont="1" applyNumberForma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3" numFmtId="164" xfId="0" applyAlignment="1" applyBorder="1" applyFont="1" applyNumberFormat="1">
      <alignment shrinkToFit="0" vertical="center" wrapText="0"/>
    </xf>
    <xf borderId="9" fillId="0" fontId="3" numFmtId="164" xfId="0" applyAlignment="1" applyBorder="1" applyFont="1" applyNumberFormat="1">
      <alignment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9" fillId="0" fontId="2" numFmtId="164" xfId="0" applyAlignment="1" applyBorder="1" applyFont="1" applyNumberForma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2" numFmtId="164" xfId="0" applyAlignment="1" applyBorder="1" applyFont="1" applyNumberFormat="1">
      <alignment horizontal="right" readingOrder="0" shrinkToFit="0" vertical="center" wrapText="0"/>
    </xf>
    <xf borderId="12" fillId="0" fontId="2" numFmtId="164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34" displayName="Tabla_1" name="Tabla_1" id="1">
  <tableColumns count="7">
    <tableColumn name="Fase" id="1"/>
    <tableColumn name="Tarea" id="2"/>
    <tableColumn name="Descripción" id="3"/>
    <tableColumn name="Cantidad" id="4"/>
    <tableColumn name="Unidad" id="5"/>
    <tableColumn name="Costo Unitario (CLP)" id="6"/>
    <tableColumn name="Subtotal (CLP)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71"/>
    <col customWidth="1" min="2" max="2" width="21.71"/>
    <col customWidth="1" min="3" max="3" width="43.0"/>
    <col customWidth="1" min="4" max="4" width="17.71"/>
    <col customWidth="1" min="5" max="5" width="16.29"/>
    <col customWidth="1" min="6" max="6" width="27.43"/>
    <col customWidth="1" min="7" max="7" width="22.14"/>
    <col customWidth="1" min="8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5" t="s">
        <v>8</v>
      </c>
      <c r="C2" s="5" t="s">
        <v>9</v>
      </c>
      <c r="D2" s="6">
        <v>1.0</v>
      </c>
      <c r="E2" s="7" t="s">
        <v>10</v>
      </c>
      <c r="F2" s="8">
        <v>1000000.0</v>
      </c>
      <c r="G2" s="9">
        <f t="shared" ref="G2:G33" si="1">D2*F2</f>
        <v>1000000</v>
      </c>
    </row>
    <row r="3">
      <c r="A3" s="10" t="s">
        <v>7</v>
      </c>
      <c r="B3" s="11" t="s">
        <v>11</v>
      </c>
      <c r="C3" s="11" t="s">
        <v>12</v>
      </c>
      <c r="D3" s="12">
        <v>1.0</v>
      </c>
      <c r="E3" s="13" t="s">
        <v>10</v>
      </c>
      <c r="F3" s="14">
        <v>1500000.0</v>
      </c>
      <c r="G3" s="15">
        <f t="shared" si="1"/>
        <v>1500000</v>
      </c>
    </row>
    <row r="4">
      <c r="A4" s="4" t="s">
        <v>7</v>
      </c>
      <c r="B4" s="5" t="s">
        <v>13</v>
      </c>
      <c r="C4" s="5" t="s">
        <v>14</v>
      </c>
      <c r="D4" s="6">
        <v>1.0</v>
      </c>
      <c r="E4" s="7" t="s">
        <v>10</v>
      </c>
      <c r="F4" s="8">
        <v>1500000.0</v>
      </c>
      <c r="G4" s="9">
        <f t="shared" si="1"/>
        <v>1500000</v>
      </c>
    </row>
    <row r="5">
      <c r="A5" s="10" t="s">
        <v>15</v>
      </c>
      <c r="B5" s="11" t="s">
        <v>16</v>
      </c>
      <c r="C5" s="11" t="s">
        <v>17</v>
      </c>
      <c r="D5" s="12">
        <v>1.0</v>
      </c>
      <c r="E5" s="13" t="s">
        <v>10</v>
      </c>
      <c r="F5" s="14">
        <v>2500000.0</v>
      </c>
      <c r="G5" s="15">
        <f t="shared" si="1"/>
        <v>2500000</v>
      </c>
    </row>
    <row r="6">
      <c r="A6" s="4" t="s">
        <v>15</v>
      </c>
      <c r="B6" s="5" t="s">
        <v>18</v>
      </c>
      <c r="C6" s="5" t="s">
        <v>19</v>
      </c>
      <c r="D6" s="6">
        <v>1.0</v>
      </c>
      <c r="E6" s="7" t="s">
        <v>10</v>
      </c>
      <c r="F6" s="8">
        <v>1000000.0</v>
      </c>
      <c r="G6" s="9">
        <f t="shared" si="1"/>
        <v>1000000</v>
      </c>
    </row>
    <row r="7">
      <c r="A7" s="10" t="s">
        <v>15</v>
      </c>
      <c r="B7" s="11" t="s">
        <v>20</v>
      </c>
      <c r="C7" s="11" t="s">
        <v>21</v>
      </c>
      <c r="D7" s="12">
        <v>1.0</v>
      </c>
      <c r="E7" s="13" t="s">
        <v>10</v>
      </c>
      <c r="F7" s="14">
        <v>1500000.0</v>
      </c>
      <c r="G7" s="15">
        <f t="shared" si="1"/>
        <v>1500000</v>
      </c>
    </row>
    <row r="8">
      <c r="A8" s="4" t="s">
        <v>15</v>
      </c>
      <c r="B8" s="5" t="s">
        <v>22</v>
      </c>
      <c r="C8" s="5" t="s">
        <v>23</v>
      </c>
      <c r="D8" s="6">
        <v>1.0</v>
      </c>
      <c r="E8" s="7" t="s">
        <v>10</v>
      </c>
      <c r="F8" s="8">
        <v>1000000.0</v>
      </c>
      <c r="G8" s="9">
        <f t="shared" si="1"/>
        <v>1000000</v>
      </c>
    </row>
    <row r="9">
      <c r="A9" s="10" t="s">
        <v>24</v>
      </c>
      <c r="B9" s="11" t="s">
        <v>25</v>
      </c>
      <c r="C9" s="11" t="s">
        <v>26</v>
      </c>
      <c r="D9" s="12">
        <v>1.0</v>
      </c>
      <c r="E9" s="13" t="s">
        <v>10</v>
      </c>
      <c r="F9" s="14">
        <v>2000000.0</v>
      </c>
      <c r="G9" s="15">
        <f t="shared" si="1"/>
        <v>2000000</v>
      </c>
    </row>
    <row r="10">
      <c r="A10" s="4" t="s">
        <v>24</v>
      </c>
      <c r="B10" s="5" t="s">
        <v>27</v>
      </c>
      <c r="C10" s="5" t="s">
        <v>28</v>
      </c>
      <c r="D10" s="6">
        <v>1.0</v>
      </c>
      <c r="E10" s="7" t="s">
        <v>10</v>
      </c>
      <c r="F10" s="8">
        <v>2000000.0</v>
      </c>
      <c r="G10" s="9">
        <f t="shared" si="1"/>
        <v>2000000</v>
      </c>
    </row>
    <row r="11">
      <c r="A11" s="10" t="s">
        <v>24</v>
      </c>
      <c r="B11" s="11" t="s">
        <v>29</v>
      </c>
      <c r="C11" s="11" t="s">
        <v>30</v>
      </c>
      <c r="D11" s="12">
        <v>1.0</v>
      </c>
      <c r="E11" s="13" t="s">
        <v>10</v>
      </c>
      <c r="F11" s="14">
        <v>1500000.0</v>
      </c>
      <c r="G11" s="15">
        <f t="shared" si="1"/>
        <v>1500000</v>
      </c>
    </row>
    <row r="12">
      <c r="A12" s="4" t="s">
        <v>24</v>
      </c>
      <c r="B12" s="5" t="s">
        <v>31</v>
      </c>
      <c r="C12" s="5" t="s">
        <v>32</v>
      </c>
      <c r="D12" s="6">
        <v>1.0</v>
      </c>
      <c r="E12" s="7" t="s">
        <v>10</v>
      </c>
      <c r="F12" s="8">
        <v>1000000.0</v>
      </c>
      <c r="G12" s="9">
        <f t="shared" si="1"/>
        <v>1000000</v>
      </c>
    </row>
    <row r="13">
      <c r="A13" s="10" t="s">
        <v>33</v>
      </c>
      <c r="B13" s="11" t="s">
        <v>34</v>
      </c>
      <c r="C13" s="11" t="s">
        <v>35</v>
      </c>
      <c r="D13" s="12">
        <v>1.0</v>
      </c>
      <c r="E13" s="13" t="s">
        <v>10</v>
      </c>
      <c r="F13" s="14">
        <v>1000000.0</v>
      </c>
      <c r="G13" s="15">
        <f t="shared" si="1"/>
        <v>1000000</v>
      </c>
    </row>
    <row r="14">
      <c r="A14" s="4" t="s">
        <v>33</v>
      </c>
      <c r="B14" s="5" t="s">
        <v>36</v>
      </c>
      <c r="C14" s="5" t="s">
        <v>37</v>
      </c>
      <c r="D14" s="6">
        <v>1.0</v>
      </c>
      <c r="E14" s="7" t="s">
        <v>38</v>
      </c>
      <c r="F14" s="8">
        <v>1.5E7</v>
      </c>
      <c r="G14" s="9">
        <f t="shared" si="1"/>
        <v>15000000</v>
      </c>
    </row>
    <row r="15">
      <c r="A15" s="10" t="s">
        <v>33</v>
      </c>
      <c r="B15" s="11" t="s">
        <v>39</v>
      </c>
      <c r="C15" s="11" t="s">
        <v>40</v>
      </c>
      <c r="D15" s="12">
        <v>1.0</v>
      </c>
      <c r="E15" s="13" t="s">
        <v>41</v>
      </c>
      <c r="F15" s="14">
        <v>3300000.0</v>
      </c>
      <c r="G15" s="15">
        <f t="shared" si="1"/>
        <v>3300000</v>
      </c>
    </row>
    <row r="16">
      <c r="A16" s="4" t="s">
        <v>33</v>
      </c>
      <c r="B16" s="5" t="s">
        <v>42</v>
      </c>
      <c r="C16" s="5" t="s">
        <v>43</v>
      </c>
      <c r="D16" s="6">
        <v>1.0</v>
      </c>
      <c r="E16" s="7" t="s">
        <v>41</v>
      </c>
      <c r="F16" s="8">
        <v>2000000.0</v>
      </c>
      <c r="G16" s="9">
        <f t="shared" si="1"/>
        <v>2000000</v>
      </c>
    </row>
    <row r="17">
      <c r="A17" s="10" t="s">
        <v>33</v>
      </c>
      <c r="B17" s="11" t="s">
        <v>44</v>
      </c>
      <c r="C17" s="11" t="s">
        <v>45</v>
      </c>
      <c r="D17" s="12">
        <v>1.0</v>
      </c>
      <c r="E17" s="13" t="s">
        <v>10</v>
      </c>
      <c r="F17" s="14">
        <v>4000000.0</v>
      </c>
      <c r="G17" s="15">
        <f t="shared" si="1"/>
        <v>4000000</v>
      </c>
    </row>
    <row r="18">
      <c r="A18" s="4" t="s">
        <v>46</v>
      </c>
      <c r="B18" s="5" t="s">
        <v>47</v>
      </c>
      <c r="C18" s="5" t="s">
        <v>48</v>
      </c>
      <c r="D18" s="6">
        <v>1.0</v>
      </c>
      <c r="E18" s="7" t="s">
        <v>10</v>
      </c>
      <c r="F18" s="8">
        <v>1000000.0</v>
      </c>
      <c r="G18" s="9">
        <f t="shared" si="1"/>
        <v>1000000</v>
      </c>
    </row>
    <row r="19">
      <c r="A19" s="10" t="s">
        <v>46</v>
      </c>
      <c r="B19" s="11" t="s">
        <v>49</v>
      </c>
      <c r="C19" s="11" t="s">
        <v>50</v>
      </c>
      <c r="D19" s="12">
        <v>1.0</v>
      </c>
      <c r="E19" s="13" t="s">
        <v>10</v>
      </c>
      <c r="F19" s="14">
        <v>500000.0</v>
      </c>
      <c r="G19" s="15">
        <f t="shared" si="1"/>
        <v>500000</v>
      </c>
    </row>
    <row r="20">
      <c r="A20" s="4" t="s">
        <v>46</v>
      </c>
      <c r="B20" s="5" t="s">
        <v>51</v>
      </c>
      <c r="C20" s="5" t="s">
        <v>52</v>
      </c>
      <c r="D20" s="6">
        <v>1.0</v>
      </c>
      <c r="E20" s="7" t="s">
        <v>10</v>
      </c>
      <c r="F20" s="8">
        <v>500000.0</v>
      </c>
      <c r="G20" s="9">
        <f t="shared" si="1"/>
        <v>500000</v>
      </c>
    </row>
    <row r="21" ht="15.75" customHeight="1">
      <c r="A21" s="10" t="s">
        <v>53</v>
      </c>
      <c r="B21" s="11" t="s">
        <v>54</v>
      </c>
      <c r="C21" s="11" t="s">
        <v>55</v>
      </c>
      <c r="D21" s="12">
        <v>1.0</v>
      </c>
      <c r="E21" s="13" t="s">
        <v>10</v>
      </c>
      <c r="F21" s="14">
        <v>1000000.0</v>
      </c>
      <c r="G21" s="15">
        <f t="shared" si="1"/>
        <v>1000000</v>
      </c>
    </row>
    <row r="22" ht="15.75" customHeight="1">
      <c r="A22" s="4" t="s">
        <v>53</v>
      </c>
      <c r="B22" s="5" t="s">
        <v>56</v>
      </c>
      <c r="C22" s="5" t="s">
        <v>57</v>
      </c>
      <c r="D22" s="6">
        <v>1.0</v>
      </c>
      <c r="E22" s="7" t="s">
        <v>10</v>
      </c>
      <c r="F22" s="8">
        <v>500000.0</v>
      </c>
      <c r="G22" s="9">
        <f t="shared" si="1"/>
        <v>500000</v>
      </c>
    </row>
    <row r="23" ht="15.75" customHeight="1">
      <c r="A23" s="10" t="s">
        <v>53</v>
      </c>
      <c r="B23" s="11" t="s">
        <v>58</v>
      </c>
      <c r="C23" s="11" t="s">
        <v>59</v>
      </c>
      <c r="D23" s="12">
        <v>1.0</v>
      </c>
      <c r="E23" s="13" t="s">
        <v>10</v>
      </c>
      <c r="F23" s="14">
        <v>500000.0</v>
      </c>
      <c r="G23" s="15">
        <f t="shared" si="1"/>
        <v>500000</v>
      </c>
    </row>
    <row r="24" ht="15.75" customHeight="1">
      <c r="A24" s="4" t="s">
        <v>53</v>
      </c>
      <c r="B24" s="5" t="s">
        <v>60</v>
      </c>
      <c r="C24" s="5" t="s">
        <v>61</v>
      </c>
      <c r="D24" s="6">
        <v>1.0</v>
      </c>
      <c r="E24" s="7" t="s">
        <v>10</v>
      </c>
      <c r="F24" s="8">
        <v>500000.0</v>
      </c>
      <c r="G24" s="9">
        <f t="shared" si="1"/>
        <v>500000</v>
      </c>
    </row>
    <row r="25" ht="15.75" customHeight="1">
      <c r="A25" s="10" t="s">
        <v>62</v>
      </c>
      <c r="B25" s="11" t="s">
        <v>63</v>
      </c>
      <c r="C25" s="11" t="s">
        <v>64</v>
      </c>
      <c r="D25" s="12">
        <v>1.0</v>
      </c>
      <c r="E25" s="13" t="s">
        <v>10</v>
      </c>
      <c r="F25" s="14">
        <v>1000000.0</v>
      </c>
      <c r="G25" s="15">
        <f t="shared" si="1"/>
        <v>1000000</v>
      </c>
    </row>
    <row r="26" ht="15.75" customHeight="1">
      <c r="A26" s="4" t="s">
        <v>65</v>
      </c>
      <c r="B26" s="5" t="s">
        <v>66</v>
      </c>
      <c r="C26" s="5" t="s">
        <v>67</v>
      </c>
      <c r="D26" s="6">
        <v>1.0</v>
      </c>
      <c r="E26" s="7" t="s">
        <v>10</v>
      </c>
      <c r="F26" s="8">
        <v>500000.0</v>
      </c>
      <c r="G26" s="9">
        <f t="shared" si="1"/>
        <v>500000</v>
      </c>
    </row>
    <row r="27" ht="15.75" customHeight="1">
      <c r="A27" s="10" t="s">
        <v>65</v>
      </c>
      <c r="B27" s="11" t="s">
        <v>68</v>
      </c>
      <c r="C27" s="11" t="s">
        <v>69</v>
      </c>
      <c r="D27" s="12">
        <v>1.0</v>
      </c>
      <c r="E27" s="13" t="s">
        <v>10</v>
      </c>
      <c r="F27" s="14">
        <v>1000000.0</v>
      </c>
      <c r="G27" s="15">
        <f t="shared" si="1"/>
        <v>1000000</v>
      </c>
    </row>
    <row r="28" ht="15.75" customHeight="1">
      <c r="A28" s="4" t="s">
        <v>70</v>
      </c>
      <c r="B28" s="5" t="s">
        <v>71</v>
      </c>
      <c r="C28" s="5" t="s">
        <v>72</v>
      </c>
      <c r="D28" s="6">
        <v>12.0</v>
      </c>
      <c r="E28" s="7" t="s">
        <v>73</v>
      </c>
      <c r="F28" s="8">
        <v>300000.0</v>
      </c>
      <c r="G28" s="9">
        <f t="shared" si="1"/>
        <v>3600000</v>
      </c>
    </row>
    <row r="29" ht="15.75" customHeight="1">
      <c r="A29" s="10" t="s">
        <v>70</v>
      </c>
      <c r="B29" s="16" t="s">
        <v>20</v>
      </c>
      <c r="C29" s="11" t="s">
        <v>74</v>
      </c>
      <c r="D29" s="12">
        <v>12.0</v>
      </c>
      <c r="E29" s="13" t="s">
        <v>73</v>
      </c>
      <c r="F29" s="14">
        <v>20000.0</v>
      </c>
      <c r="G29" s="15">
        <f t="shared" si="1"/>
        <v>240000</v>
      </c>
    </row>
    <row r="30" ht="15.75" customHeight="1">
      <c r="A30" s="4" t="s">
        <v>75</v>
      </c>
      <c r="B30" s="5" t="s">
        <v>76</v>
      </c>
      <c r="C30" s="5" t="s">
        <v>77</v>
      </c>
      <c r="D30" s="6">
        <v>12.0</v>
      </c>
      <c r="E30" s="7" t="s">
        <v>73</v>
      </c>
      <c r="F30" s="8">
        <v>500000.0</v>
      </c>
      <c r="G30" s="9">
        <f t="shared" si="1"/>
        <v>6000000</v>
      </c>
    </row>
    <row r="31" ht="15.75" customHeight="1">
      <c r="A31" s="10" t="s">
        <v>75</v>
      </c>
      <c r="B31" s="11" t="s">
        <v>78</v>
      </c>
      <c r="C31" s="11" t="s">
        <v>79</v>
      </c>
      <c r="D31" s="12">
        <v>12.0</v>
      </c>
      <c r="E31" s="13" t="s">
        <v>73</v>
      </c>
      <c r="F31" s="14">
        <v>150000.0</v>
      </c>
      <c r="G31" s="15">
        <f t="shared" si="1"/>
        <v>1800000</v>
      </c>
    </row>
    <row r="32" ht="15.75" customHeight="1">
      <c r="A32" s="4" t="s">
        <v>75</v>
      </c>
      <c r="B32" s="5" t="s">
        <v>80</v>
      </c>
      <c r="C32" s="5" t="s">
        <v>81</v>
      </c>
      <c r="D32" s="6">
        <v>1.0</v>
      </c>
      <c r="E32" s="7" t="s">
        <v>10</v>
      </c>
      <c r="F32" s="8">
        <v>800000.0</v>
      </c>
      <c r="G32" s="9">
        <f t="shared" si="1"/>
        <v>800000</v>
      </c>
    </row>
    <row r="33" ht="15.75" customHeight="1">
      <c r="A33" s="10" t="s">
        <v>75</v>
      </c>
      <c r="B33" s="11" t="s">
        <v>82</v>
      </c>
      <c r="C33" s="11" t="s">
        <v>83</v>
      </c>
      <c r="D33" s="12">
        <v>1.0</v>
      </c>
      <c r="E33" s="17" t="s">
        <v>10</v>
      </c>
      <c r="F33" s="14">
        <f>SUM(G1:G32)*0.1</f>
        <v>6124000</v>
      </c>
      <c r="G33" s="18">
        <f t="shared" si="1"/>
        <v>6124000</v>
      </c>
    </row>
    <row r="34" ht="15.75" customHeight="1">
      <c r="A34" s="19"/>
      <c r="B34" s="20"/>
      <c r="C34" s="20"/>
      <c r="D34" s="21"/>
      <c r="E34" s="22"/>
      <c r="F34" s="23" t="s">
        <v>84</v>
      </c>
      <c r="G34" s="24">
        <f>SUM(G2:G33)</f>
        <v>67364000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ataValidations>
    <dataValidation type="custom" allowBlank="1" showDropDown="1" sqref="D2:D34 F2:G34">
      <formula1>AND(ISNUMBER(D2),(NOT(OR(NOT(ISERROR(DATEVALUE(D2))), AND(ISNUMBER(D2), LEFT(CELL("format", D2))="D")))))</formula1>
    </dataValidation>
    <dataValidation type="list" allowBlank="1" showDropDown="1" showErrorMessage="1" sqref="E2:E34">
      <formula1>"lote,licencia,servicio,mes"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2025-08-30T16:50:35Z</dcterms:created>
  <dc:creator>openpyxl</dc:creator>
</cp:coreProperties>
</file>